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Etalement" sheetId="2" state="visible" r:id="rId2"/>
    <sheet name="Projection" sheetId="3" state="visible" r:id="rId3"/>
    <sheet name="Cotation" sheetId="4" state="visible" r:id="rId4"/>
    <sheet name="Covena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Dossier de crédit : Enbridge Inc. (ENB), généré par clab</t>
        </is>
      </c>
    </row>
    <row r="3">
      <c r="A3" t="inlineStr">
        <is>
          <t>Étalement MESURÉ (SEC, companyfacts, M$ CAD) ; projection à FORMULES (hypothèses en jaune</t>
        </is>
      </c>
    </row>
    <row r="4">
      <c r="A4" t="inlineStr">
        <is>
          <t>conceptuel : cellules B2:B4 de la feuille Projection) ; grille de cotation : préceptes internes</t>
        </is>
      </c>
    </row>
    <row r="5">
      <c r="A5" t="inlineStr">
        <is>
          <t>déclarés, pas une notation d'agence. Le mémo bilingue est dans reports/.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exercice</t>
        </is>
      </c>
      <c r="B1" s="1" t="inlineStr">
        <is>
          <t>revenus</t>
        </is>
      </c>
      <c r="C1" s="1" t="inlineStr">
        <is>
          <t>resultat_exploitation</t>
        </is>
      </c>
      <c r="D1" s="1" t="inlineStr">
        <is>
          <t>amortissements</t>
        </is>
      </c>
      <c r="E1" s="1" t="inlineStr">
        <is>
          <t>flux_exploitation</t>
        </is>
      </c>
      <c r="F1" s="1" t="inlineStr">
        <is>
          <t>capex</t>
        </is>
      </c>
      <c r="G1" s="1" t="inlineStr">
        <is>
          <t>interets</t>
        </is>
      </c>
      <c r="H1" s="1" t="inlineStr">
        <is>
          <t>remboursements_dette</t>
        </is>
      </c>
      <c r="I1" s="1" t="inlineStr">
        <is>
          <t>dette_long_terme</t>
        </is>
      </c>
      <c r="J1" s="1" t="inlineStr">
        <is>
          <t>tresorerie</t>
        </is>
      </c>
      <c r="K1" s="1" t="inlineStr">
        <is>
          <t>ebitda</t>
        </is>
      </c>
      <c r="L1" s="1" t="inlineStr">
        <is>
          <t>dette_sur_ebitda</t>
        </is>
      </c>
      <c r="M1" s="1" t="inlineStr">
        <is>
          <t>couverture_interets</t>
        </is>
      </c>
      <c r="N1" s="1" t="inlineStr">
        <is>
          <t>dscr</t>
        </is>
      </c>
      <c r="O1" s="1" t="inlineStr">
        <is>
          <t>ffo_sur_dette_pct</t>
        </is>
      </c>
    </row>
    <row r="2">
      <c r="A2" t="n">
        <v>2011</v>
      </c>
      <c r="B2" t="n">
        <v>26789</v>
      </c>
      <c r="C2" t="n">
        <v>2591</v>
      </c>
      <c r="D2" t="n">
        <v>1147</v>
      </c>
      <c r="E2" t="n">
        <v>3371</v>
      </c>
      <c r="F2" t="n">
        <v>3527</v>
      </c>
      <c r="G2" t="n">
        <v>928</v>
      </c>
      <c r="J2" t="n">
        <v>723</v>
      </c>
      <c r="K2" t="n">
        <v>3738</v>
      </c>
      <c r="M2" t="n">
        <v>4.03</v>
      </c>
    </row>
    <row r="3">
      <c r="A3" t="n">
        <v>2012</v>
      </c>
      <c r="B3" t="n">
        <v>24660</v>
      </c>
      <c r="C3" t="n">
        <v>1594</v>
      </c>
      <c r="D3" t="n">
        <v>1236</v>
      </c>
      <c r="E3" t="n">
        <v>2874</v>
      </c>
      <c r="F3" t="n">
        <v>5194</v>
      </c>
      <c r="G3" t="n">
        <v>841</v>
      </c>
      <c r="J3" t="n">
        <v>1776</v>
      </c>
      <c r="K3" t="n">
        <v>2830</v>
      </c>
      <c r="M3" t="n">
        <v>3.37</v>
      </c>
    </row>
    <row r="4">
      <c r="A4" t="n">
        <v>2013</v>
      </c>
      <c r="B4" t="n">
        <v>32918</v>
      </c>
      <c r="C4" t="n">
        <v>1365</v>
      </c>
      <c r="D4" t="n">
        <v>1370</v>
      </c>
      <c r="E4" t="n">
        <v>3341</v>
      </c>
      <c r="F4" t="n">
        <v>8235</v>
      </c>
      <c r="G4" t="n">
        <v>947</v>
      </c>
      <c r="J4" t="n">
        <v>756</v>
      </c>
      <c r="K4" t="n">
        <v>2735</v>
      </c>
      <c r="M4" t="n">
        <v>2.89</v>
      </c>
    </row>
    <row r="5">
      <c r="A5" t="n">
        <v>2014</v>
      </c>
      <c r="B5" t="n">
        <v>37641</v>
      </c>
      <c r="C5" t="n">
        <v>3200</v>
      </c>
      <c r="D5" t="n">
        <v>1577</v>
      </c>
      <c r="E5" t="n">
        <v>2547</v>
      </c>
      <c r="F5" t="n">
        <v>10524</v>
      </c>
      <c r="G5" t="n">
        <v>1129</v>
      </c>
      <c r="H5" t="n">
        <v>1348</v>
      </c>
      <c r="J5" t="n">
        <v>799</v>
      </c>
      <c r="K5" t="n">
        <v>4777</v>
      </c>
      <c r="M5" t="n">
        <v>4.23</v>
      </c>
      <c r="N5" t="n">
        <v>1.93</v>
      </c>
    </row>
    <row r="6">
      <c r="A6" t="n">
        <v>2015</v>
      </c>
      <c r="B6" t="n">
        <v>33794</v>
      </c>
      <c r="C6" t="n">
        <v>1862</v>
      </c>
      <c r="D6" t="n">
        <v>2024</v>
      </c>
      <c r="E6" t="n">
        <v>4571</v>
      </c>
      <c r="F6" t="n">
        <v>7273</v>
      </c>
      <c r="G6" t="n">
        <v>1624</v>
      </c>
      <c r="H6" t="n">
        <v>1023</v>
      </c>
      <c r="J6" t="n">
        <v>654</v>
      </c>
      <c r="K6" t="n">
        <v>3886</v>
      </c>
      <c r="M6" t="n">
        <v>2.39</v>
      </c>
      <c r="N6" t="n">
        <v>1.47</v>
      </c>
    </row>
    <row r="7">
      <c r="A7" t="n">
        <v>2016</v>
      </c>
      <c r="B7" t="n">
        <v>34560</v>
      </c>
      <c r="C7" t="n">
        <v>2581</v>
      </c>
      <c r="D7" t="n">
        <v>2240</v>
      </c>
      <c r="E7" t="n">
        <v>5205</v>
      </c>
      <c r="F7" t="n">
        <v>5128</v>
      </c>
      <c r="G7" t="n">
        <v>1590</v>
      </c>
      <c r="H7" t="n">
        <v>1946</v>
      </c>
      <c r="J7" t="n">
        <v>1494</v>
      </c>
      <c r="K7" t="n">
        <v>4821</v>
      </c>
      <c r="M7" t="n">
        <v>3.03</v>
      </c>
      <c r="N7" t="n">
        <v>1.36</v>
      </c>
    </row>
    <row r="8">
      <c r="A8" t="n">
        <v>2017</v>
      </c>
      <c r="B8" t="n">
        <v>44378</v>
      </c>
      <c r="C8" t="n">
        <v>1571</v>
      </c>
      <c r="D8" t="n">
        <v>3163</v>
      </c>
      <c r="E8" t="n">
        <v>6658</v>
      </c>
      <c r="F8" t="n">
        <v>8287</v>
      </c>
      <c r="G8" t="n">
        <v>2556</v>
      </c>
      <c r="H8" t="n">
        <v>5054</v>
      </c>
      <c r="I8" t="n">
        <v>62927</v>
      </c>
      <c r="J8" t="n">
        <v>480</v>
      </c>
      <c r="K8" t="n">
        <v>4734</v>
      </c>
      <c r="L8" t="n">
        <v>13.29</v>
      </c>
      <c r="M8" t="n">
        <v>1.85</v>
      </c>
      <c r="N8" t="n">
        <v>0.62</v>
      </c>
      <c r="O8" t="n">
        <v>10.58</v>
      </c>
    </row>
    <row r="9">
      <c r="A9" t="n">
        <v>2018</v>
      </c>
      <c r="B9" t="n">
        <v>20797</v>
      </c>
      <c r="C9" t="n">
        <v>4816</v>
      </c>
      <c r="D9" t="n">
        <v>3246</v>
      </c>
      <c r="E9" t="n">
        <v>10502</v>
      </c>
      <c r="F9" t="n">
        <v>6806</v>
      </c>
      <c r="G9" t="n">
        <v>2703</v>
      </c>
      <c r="H9" t="n">
        <v>4445</v>
      </c>
      <c r="I9" t="n">
        <v>62967</v>
      </c>
      <c r="J9" t="n">
        <v>518</v>
      </c>
      <c r="K9" t="n">
        <v>8062</v>
      </c>
      <c r="L9" t="n">
        <v>7.81</v>
      </c>
      <c r="M9" t="n">
        <v>2.98</v>
      </c>
      <c r="N9" t="n">
        <v>1.13</v>
      </c>
      <c r="O9" t="n">
        <v>16.68</v>
      </c>
    </row>
    <row r="10">
      <c r="A10" t="n">
        <v>2019</v>
      </c>
      <c r="B10" t="n">
        <v>19697</v>
      </c>
      <c r="C10" t="n">
        <v>8260</v>
      </c>
      <c r="D10" t="n">
        <v>3391</v>
      </c>
      <c r="E10" t="n">
        <v>9398</v>
      </c>
      <c r="F10" t="n">
        <v>5492</v>
      </c>
      <c r="G10" t="n">
        <v>2663</v>
      </c>
      <c r="H10" t="n">
        <v>4668</v>
      </c>
      <c r="I10" t="n">
        <v>63585</v>
      </c>
      <c r="J10" t="n">
        <v>648</v>
      </c>
      <c r="K10" t="n">
        <v>11651</v>
      </c>
      <c r="L10" t="n">
        <v>5.46</v>
      </c>
      <c r="M10" t="n">
        <v>4.38</v>
      </c>
      <c r="N10" t="n">
        <v>1.59</v>
      </c>
      <c r="O10" t="n">
        <v>14.78</v>
      </c>
    </row>
    <row r="11">
      <c r="A11" t="n">
        <v>2020</v>
      </c>
      <c r="B11" t="n">
        <v>18817</v>
      </c>
      <c r="C11" t="n">
        <v>7957</v>
      </c>
      <c r="D11" t="n">
        <v>3712</v>
      </c>
      <c r="E11" t="n">
        <v>9781</v>
      </c>
      <c r="F11" t="n">
        <v>5405</v>
      </c>
      <c r="G11" t="n">
        <v>2790</v>
      </c>
      <c r="H11" t="n">
        <v>4463</v>
      </c>
      <c r="I11" t="n">
        <v>65358</v>
      </c>
      <c r="J11" t="n">
        <v>452</v>
      </c>
      <c r="K11" t="n">
        <v>11669</v>
      </c>
      <c r="L11" t="n">
        <v>5.6</v>
      </c>
      <c r="M11" t="n">
        <v>4.18</v>
      </c>
      <c r="N11" t="n">
        <v>1.61</v>
      </c>
      <c r="O11" t="n">
        <v>14.97</v>
      </c>
    </row>
    <row r="12">
      <c r="A12" t="n">
        <v>2021</v>
      </c>
      <c r="B12" t="n">
        <v>19432</v>
      </c>
      <c r="C12" t="n">
        <v>7805</v>
      </c>
      <c r="D12" t="n">
        <v>3852</v>
      </c>
      <c r="E12" t="n">
        <v>9256</v>
      </c>
      <c r="F12" t="n">
        <v>7818</v>
      </c>
      <c r="G12" t="n">
        <v>2655</v>
      </c>
      <c r="H12" t="n">
        <v>2264</v>
      </c>
      <c r="I12" t="n">
        <v>73809</v>
      </c>
      <c r="J12" t="n">
        <v>286</v>
      </c>
      <c r="K12" t="n">
        <v>11657</v>
      </c>
      <c r="L12" t="n">
        <v>6.33</v>
      </c>
      <c r="M12" t="n">
        <v>4.39</v>
      </c>
      <c r="N12" t="n">
        <v>2.37</v>
      </c>
      <c r="O12" t="n">
        <v>12.54</v>
      </c>
    </row>
    <row r="13">
      <c r="A13" t="n">
        <v>2022</v>
      </c>
      <c r="B13" t="n">
        <v>23916</v>
      </c>
      <c r="C13" t="n">
        <v>5178</v>
      </c>
      <c r="D13" t="n">
        <v>4317</v>
      </c>
      <c r="E13" t="n">
        <v>11230</v>
      </c>
      <c r="F13" t="n">
        <v>4647</v>
      </c>
      <c r="G13" t="n">
        <v>3179</v>
      </c>
      <c r="H13" t="n">
        <v>4198</v>
      </c>
      <c r="I13" t="n">
        <v>78742</v>
      </c>
      <c r="J13" t="n">
        <v>861</v>
      </c>
      <c r="K13" t="n">
        <v>9495</v>
      </c>
      <c r="L13" t="n">
        <v>8.289999999999999</v>
      </c>
      <c r="M13" t="n">
        <v>2.99</v>
      </c>
      <c r="N13" t="n">
        <v>1.29</v>
      </c>
      <c r="O13" t="n">
        <v>14.26</v>
      </c>
    </row>
    <row r="14">
      <c r="A14" t="n">
        <v>2023</v>
      </c>
      <c r="B14" t="n">
        <v>24097</v>
      </c>
      <c r="C14" t="n">
        <v>8651</v>
      </c>
      <c r="D14" t="n">
        <v>4613</v>
      </c>
      <c r="E14" t="n">
        <v>14201</v>
      </c>
      <c r="F14" t="n">
        <v>4654</v>
      </c>
      <c r="G14" t="n">
        <v>3812</v>
      </c>
      <c r="H14" t="n">
        <v>4819</v>
      </c>
      <c r="I14" t="n">
        <v>80438</v>
      </c>
      <c r="J14" t="n">
        <v>5901</v>
      </c>
      <c r="K14" t="n">
        <v>13264</v>
      </c>
      <c r="L14" t="n">
        <v>6.06</v>
      </c>
      <c r="M14" t="n">
        <v>3.48</v>
      </c>
      <c r="N14" t="n">
        <v>1.54</v>
      </c>
      <c r="O14" t="n">
        <v>17.65</v>
      </c>
    </row>
    <row r="15">
      <c r="A15" t="n">
        <v>2024</v>
      </c>
      <c r="B15" t="n">
        <v>25888</v>
      </c>
      <c r="C15" t="n">
        <v>9649</v>
      </c>
      <c r="D15" t="n">
        <v>5167</v>
      </c>
      <c r="E15" t="n">
        <v>12600</v>
      </c>
      <c r="F15" t="n">
        <v>6711</v>
      </c>
      <c r="G15" t="n">
        <v>4419</v>
      </c>
      <c r="H15" t="n">
        <v>6633</v>
      </c>
      <c r="I15" t="n">
        <v>101819</v>
      </c>
      <c r="J15" t="n">
        <v>1803</v>
      </c>
      <c r="K15" t="n">
        <v>14816</v>
      </c>
      <c r="L15" t="n">
        <v>6.87</v>
      </c>
      <c r="M15" t="n">
        <v>3.35</v>
      </c>
      <c r="N15" t="n">
        <v>1.34</v>
      </c>
      <c r="O15" t="n">
        <v>12.37</v>
      </c>
    </row>
    <row r="16">
      <c r="A16" t="n">
        <v>2025</v>
      </c>
      <c r="B16" t="n">
        <v>29329</v>
      </c>
      <c r="C16" t="n">
        <v>10958</v>
      </c>
      <c r="D16" t="n">
        <v>5661</v>
      </c>
      <c r="E16" t="n">
        <v>12270</v>
      </c>
      <c r="F16" t="n">
        <v>8973</v>
      </c>
      <c r="G16" t="n">
        <v>5023</v>
      </c>
      <c r="H16" t="n">
        <v>6849</v>
      </c>
      <c r="I16" t="n">
        <v>104410</v>
      </c>
      <c r="J16" t="n">
        <v>1094</v>
      </c>
      <c r="K16" t="n">
        <v>16619</v>
      </c>
      <c r="L16" t="n">
        <v>6.28</v>
      </c>
      <c r="M16" t="n">
        <v>3.31</v>
      </c>
      <c r="N16" t="n">
        <v>1.4</v>
      </c>
      <c r="O16" t="n">
        <v>11.75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Hypothèses (modifiables)</t>
        </is>
      </c>
    </row>
    <row r="2">
      <c r="A2" t="inlineStr">
        <is>
          <t>croissance des revenus</t>
        </is>
      </c>
      <c r="B2" t="n">
        <v>0.03</v>
      </c>
    </row>
    <row r="3">
      <c r="A3" t="inlineStr">
        <is>
          <t>marge EBITDA (EBITDA/revenus)</t>
        </is>
      </c>
      <c r="B3" t="n">
        <v>0.5666</v>
      </c>
    </row>
    <row r="4">
      <c r="A4" t="inlineStr">
        <is>
          <t>taux d'intérêt effectif sur la dette</t>
        </is>
      </c>
      <c r="B4" t="n">
        <v>0.0481</v>
      </c>
    </row>
    <row r="6">
      <c r="A6" s="1" t="inlineStr">
        <is>
          <t>Projection (M$ CAD)</t>
        </is>
      </c>
    </row>
    <row r="7">
      <c r="A7" s="1" t="inlineStr">
        <is>
          <t>poste</t>
        </is>
      </c>
      <c r="B7" s="1" t="inlineStr">
        <is>
          <t>2025 (réel)</t>
        </is>
      </c>
      <c r="C7" s="1" t="inlineStr">
        <is>
          <t>2026</t>
        </is>
      </c>
      <c r="D7" s="1" t="inlineStr">
        <is>
          <t>2027</t>
        </is>
      </c>
    </row>
    <row r="8">
      <c r="A8" t="inlineStr">
        <is>
          <t>revenus</t>
        </is>
      </c>
      <c r="B8" t="n">
        <v>29329</v>
      </c>
      <c r="C8">
        <f>B8*(1+$B$2)</f>
        <v/>
      </c>
      <c r="D8">
        <f>C8*(1+$B$2)</f>
        <v/>
      </c>
    </row>
    <row r="9">
      <c r="A9" t="inlineStr">
        <is>
          <t>EBITDA</t>
        </is>
      </c>
      <c r="B9" t="n">
        <v>16619</v>
      </c>
      <c r="C9">
        <f>C8*$B$3</f>
        <v/>
      </c>
      <c r="D9">
        <f>D8*$B$3</f>
        <v/>
      </c>
    </row>
    <row r="10">
      <c r="A10" t="inlineStr">
        <is>
          <t>dette long terme (stable, hypothèse)</t>
        </is>
      </c>
      <c r="B10" t="n">
        <v>104410</v>
      </c>
      <c r="C10">
        <f>B10</f>
        <v/>
      </c>
      <c r="D10">
        <f>C10</f>
        <v/>
      </c>
    </row>
    <row r="11">
      <c r="A11" t="inlineStr">
        <is>
          <t>intérêts</t>
        </is>
      </c>
      <c r="B11" t="n">
        <v>5023</v>
      </c>
      <c r="C11">
        <f>C10*$B$4</f>
        <v/>
      </c>
      <c r="D11">
        <f>D10*$B$4</f>
        <v/>
      </c>
    </row>
    <row r="12">
      <c r="A12" t="inlineStr">
        <is>
          <t>dette/EBITDA</t>
        </is>
      </c>
      <c r="B12" t="n">
        <v>6.28</v>
      </c>
      <c r="C12">
        <f>C10/C9</f>
        <v/>
      </c>
      <c r="D12">
        <f>D10/D9</f>
        <v/>
      </c>
    </row>
    <row r="13">
      <c r="A13" t="inlineStr">
        <is>
          <t>couverture des intérêts</t>
        </is>
      </c>
      <c r="B13" t="n">
        <v>3.31</v>
      </c>
      <c r="C13">
        <f>C9/C11</f>
        <v/>
      </c>
      <c r="D13">
        <f>D9/D11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valeur (dernier exercice)</t>
        </is>
      </c>
      <c r="C1" s="1" t="inlineStr">
        <is>
          <t>score 1-5</t>
        </is>
      </c>
      <c r="D1" s="1" t="inlineStr">
        <is>
          <t>poids</t>
        </is>
      </c>
    </row>
    <row r="2">
      <c r="A2" t="inlineStr">
        <is>
          <t>dette_sur_ebitda</t>
        </is>
      </c>
      <c r="B2" t="n">
        <v>6.28</v>
      </c>
      <c r="C2" t="n">
        <v>1</v>
      </c>
      <c r="D2" t="n">
        <v>0.3</v>
      </c>
    </row>
    <row r="3">
      <c r="A3" t="inlineStr">
        <is>
          <t>couverture_interets</t>
        </is>
      </c>
      <c r="B3" t="n">
        <v>3.31</v>
      </c>
      <c r="C3" t="n">
        <v>3</v>
      </c>
      <c r="D3" t="n">
        <v>0.25</v>
      </c>
    </row>
    <row r="4">
      <c r="A4" t="inlineStr">
        <is>
          <t>dscr</t>
        </is>
      </c>
      <c r="B4" t="n">
        <v>1.4</v>
      </c>
      <c r="C4" t="n">
        <v>3</v>
      </c>
      <c r="D4" t="n">
        <v>0.25</v>
      </c>
    </row>
    <row r="5">
      <c r="A5" t="inlineStr">
        <is>
          <t>ffo_sur_dette_pct</t>
        </is>
      </c>
      <c r="B5" t="n">
        <v>11.75</v>
      </c>
      <c r="C5" t="n">
        <v>3</v>
      </c>
      <c r="D5" t="n">
        <v>0.2</v>
      </c>
    </row>
    <row r="7">
      <c r="A7" s="1" t="inlineStr">
        <is>
          <t>note pondérée</t>
        </is>
      </c>
      <c r="B7" t="n">
        <v>2.4</v>
      </c>
      <c r="C7" t="inlineStr">
        <is>
          <t>lettre interne</t>
        </is>
      </c>
      <c r="D7" t="inlineStr">
        <is>
          <t>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Clauses proposées (illustratives, alignées sur la grille)</t>
        </is>
      </c>
    </row>
    <row r="3">
      <c r="A3" t="inlineStr">
        <is>
          <t>dette/EBITDA plafonnée à 6,0x, testée trimestriellement</t>
        </is>
      </c>
    </row>
    <row r="4">
      <c r="A4" t="inlineStr">
        <is>
          <t>couverture des intérêts plancher à 2,5x</t>
        </is>
      </c>
    </row>
    <row r="5">
      <c r="A5" t="inlineStr">
        <is>
          <t>information : états financiers trimestriels sous 45 jours, budget annuel sous 90 jours</t>
        </is>
      </c>
    </row>
    <row r="6">
      <c r="A6" t="inlineStr">
        <is>
          <t>négatif : sûretés nouvelles limitées, distributions bloquées si dette/EBITDA &gt; 5,5x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2026-08-29T03:24:56Z</dcterms:created>
  <dcterms:modified xsi:type="dcterms:W3CDTF">2026-08-29T03:24:56Z</dcterms:modified>
</cp:coreProperties>
</file>